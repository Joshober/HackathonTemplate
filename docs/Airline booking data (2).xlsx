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ckton-my.sharepoint.com/personal/kjohnson_lockton_com/Documents/2026/Projects/hackathon/"/>
    </mc:Choice>
  </mc:AlternateContent>
  <xr:revisionPtr revIDLastSave="57" documentId="8_{0794C078-6A01-4289-B84D-674A786B7F5C}" xr6:coauthVersionLast="47" xr6:coauthVersionMax="47" xr10:uidLastSave="{385D66FB-C3B6-4097-B89C-1A820C674185}"/>
  <bookViews>
    <workbookView xWindow="28680" yWindow="-120" windowWidth="38640" windowHeight="21120" xr2:uid="{555BC0D8-044C-4ABA-8296-5396E6705C90}"/>
  </bookViews>
  <sheets>
    <sheet name="Airline book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2" i="1" l="1"/>
  <c r="AE22" i="1"/>
  <c r="AD22" i="1"/>
  <c r="AF24" i="1"/>
  <c r="AE24" i="1"/>
  <c r="AD24" i="1"/>
  <c r="AC24" i="1"/>
  <c r="AB24" i="1"/>
  <c r="AF23" i="1"/>
  <c r="AE23" i="1"/>
  <c r="AD23" i="1"/>
  <c r="AC23" i="1"/>
  <c r="AB23" i="1"/>
  <c r="AF21" i="1"/>
  <c r="AE21" i="1"/>
  <c r="AD21" i="1"/>
  <c r="AC21" i="1"/>
  <c r="AB21" i="1"/>
  <c r="AF20" i="1"/>
  <c r="AE20" i="1"/>
  <c r="AD20" i="1"/>
  <c r="AC20" i="1"/>
  <c r="AB20" i="1"/>
  <c r="AF19" i="1"/>
  <c r="AE19" i="1"/>
  <c r="AD19" i="1"/>
  <c r="AC19" i="1"/>
  <c r="AB19" i="1"/>
  <c r="AF18" i="1"/>
  <c r="AE18" i="1"/>
  <c r="AD18" i="1"/>
  <c r="AC18" i="1"/>
  <c r="AB18" i="1"/>
  <c r="AF17" i="1"/>
  <c r="AE17" i="1"/>
  <c r="AD17" i="1"/>
  <c r="AC17" i="1"/>
  <c r="AB17" i="1"/>
  <c r="AF16" i="1"/>
  <c r="AE16" i="1"/>
  <c r="AD16" i="1"/>
  <c r="AC16" i="1"/>
  <c r="AB16" i="1"/>
  <c r="AF15" i="1"/>
  <c r="AE15" i="1"/>
  <c r="AD15" i="1"/>
  <c r="AC15" i="1"/>
  <c r="AB15" i="1"/>
  <c r="AF14" i="1"/>
  <c r="AE14" i="1"/>
  <c r="AD14" i="1"/>
  <c r="AC14" i="1"/>
  <c r="AB14" i="1"/>
  <c r="AF13" i="1"/>
  <c r="AE13" i="1"/>
  <c r="AD13" i="1"/>
  <c r="AC13" i="1"/>
  <c r="AB13" i="1"/>
  <c r="AF12" i="1"/>
  <c r="AE12" i="1"/>
  <c r="AD12" i="1"/>
  <c r="AC12" i="1"/>
  <c r="AB12" i="1"/>
  <c r="AF11" i="1"/>
  <c r="AE11" i="1"/>
  <c r="AD11" i="1"/>
  <c r="AC11" i="1"/>
  <c r="AB11" i="1"/>
  <c r="AF10" i="1"/>
  <c r="AE10" i="1"/>
  <c r="AD10" i="1"/>
  <c r="AC10" i="1"/>
  <c r="AB10" i="1"/>
  <c r="AF9" i="1"/>
  <c r="AE9" i="1"/>
  <c r="AD9" i="1"/>
  <c r="AC9" i="1"/>
  <c r="AB9" i="1"/>
  <c r="AF8" i="1"/>
  <c r="AE8" i="1"/>
  <c r="AD8" i="1"/>
  <c r="AC8" i="1"/>
  <c r="AB8" i="1"/>
  <c r="AF7" i="1"/>
  <c r="AE7" i="1"/>
  <c r="AD7" i="1"/>
  <c r="AC7" i="1"/>
  <c r="AB7" i="1"/>
  <c r="AF6" i="1"/>
  <c r="AE6" i="1"/>
  <c r="AD6" i="1"/>
  <c r="AC6" i="1"/>
  <c r="AB6" i="1"/>
  <c r="AF5" i="1"/>
  <c r="AE5" i="1"/>
  <c r="AD5" i="1"/>
  <c r="AC5" i="1"/>
  <c r="AB5" i="1"/>
  <c r="AF4" i="1"/>
  <c r="AE4" i="1"/>
  <c r="AD4" i="1"/>
  <c r="AC4" i="1"/>
  <c r="AB4" i="1"/>
  <c r="AF3" i="1"/>
  <c r="AE3" i="1"/>
  <c r="AD3" i="1"/>
  <c r="AC3" i="1"/>
  <c r="AB3" i="1"/>
  <c r="AF2" i="1"/>
  <c r="AE2" i="1"/>
  <c r="AD2" i="1"/>
  <c r="AC2" i="1"/>
  <c r="AB2" i="1"/>
</calcChain>
</file>

<file path=xl/sharedStrings.xml><?xml version="1.0" encoding="utf-8"?>
<sst xmlns="http://schemas.openxmlformats.org/spreadsheetml/2006/main" count="400" uniqueCount="165">
  <si>
    <t>Traveler</t>
  </si>
  <si>
    <t>Series</t>
  </si>
  <si>
    <t>Department</t>
  </si>
  <si>
    <t>org_unit</t>
  </si>
  <si>
    <t>Operating Unit</t>
  </si>
  <si>
    <t>Employee Type</t>
  </si>
  <si>
    <t>Employee ID</t>
  </si>
  <si>
    <t>Invoice Date</t>
  </si>
  <si>
    <t>Invoice #</t>
  </si>
  <si>
    <t xml:space="preserve">Ticket </t>
  </si>
  <si>
    <t>Original Ticket</t>
  </si>
  <si>
    <t>Start Date</t>
  </si>
  <si>
    <t>End Date</t>
  </si>
  <si>
    <t>Class</t>
  </si>
  <si>
    <t>roundtrip</t>
  </si>
  <si>
    <t>Carrier</t>
  </si>
  <si>
    <t>Route</t>
  </si>
  <si>
    <t>Air Charge</t>
  </si>
  <si>
    <t>cardnum</t>
  </si>
  <si>
    <t>advpurch</t>
  </si>
  <si>
    <t>exchange</t>
  </si>
  <si>
    <t>tripdays</t>
  </si>
  <si>
    <t>bktool</t>
  </si>
  <si>
    <t>Ticketing Month</t>
  </si>
  <si>
    <t>TKT Month Number</t>
  </si>
  <si>
    <t>Ticketing Day of week</t>
  </si>
  <si>
    <t>Ticketing Date</t>
  </si>
  <si>
    <t>Ticketing Year</t>
  </si>
  <si>
    <t>US</t>
  </si>
  <si>
    <t>ASSOCIATE</t>
  </si>
  <si>
    <t xml:space="preserve"> </t>
  </si>
  <si>
    <t>Economy</t>
  </si>
  <si>
    <t>NO</t>
  </si>
  <si>
    <t>AMERICAN AIRLINE</t>
  </si>
  <si>
    <t>N</t>
  </si>
  <si>
    <t>ONLINE</t>
  </si>
  <si>
    <t>YES</t>
  </si>
  <si>
    <t>UNITED AIRLINES</t>
  </si>
  <si>
    <t>PRODUCER</t>
  </si>
  <si>
    <t>AGENT</t>
  </si>
  <si>
    <t>DELTA AIR LINES</t>
  </si>
  <si>
    <t>Y</t>
  </si>
  <si>
    <t>Business</t>
  </si>
  <si>
    <t>DTW MCI DTW</t>
  </si>
  <si>
    <t/>
  </si>
  <si>
    <t>606857925</t>
  </si>
  <si>
    <t>7483951992</t>
  </si>
  <si>
    <t>T</t>
  </si>
  <si>
    <t>MSP STL MSP</t>
  </si>
  <si>
    <t>AXXXXXXXXXXXX3000</t>
  </si>
  <si>
    <t>G5WWC8</t>
  </si>
  <si>
    <t>606857944</t>
  </si>
  <si>
    <t>7483951999</t>
  </si>
  <si>
    <t>TUL IAH</t>
  </si>
  <si>
    <t>AXXXXXXXXXXXX2019</t>
  </si>
  <si>
    <t>606957843</t>
  </si>
  <si>
    <t>7484128315</t>
  </si>
  <si>
    <t>G</t>
  </si>
  <si>
    <t>DFW BNA DFW</t>
  </si>
  <si>
    <t>VIXXXXXXXXXXXX1577</t>
  </si>
  <si>
    <t>606957959</t>
  </si>
  <si>
    <t>7484128374</t>
  </si>
  <si>
    <t>7483841904</t>
  </si>
  <si>
    <t>V</t>
  </si>
  <si>
    <t>MSP MCI MSP</t>
  </si>
  <si>
    <t>VIXXXXXXXXXXXX6348</t>
  </si>
  <si>
    <t>606957975</t>
  </si>
  <si>
    <t>2139493948</t>
  </si>
  <si>
    <t>SOUTHWEST AIRLIN</t>
  </si>
  <si>
    <t>OAK LAX OAK</t>
  </si>
  <si>
    <t>VIXXXXXXXXXXXX9560</t>
  </si>
  <si>
    <t>606957979</t>
  </si>
  <si>
    <t>7484128381</t>
  </si>
  <si>
    <t>M</t>
  </si>
  <si>
    <t>OMA CLT ILM CLT OMA</t>
  </si>
  <si>
    <t>VIXXXXXXXXXXXX2681</t>
  </si>
  <si>
    <t>607157865</t>
  </si>
  <si>
    <t>7484284032</t>
  </si>
  <si>
    <t>U</t>
  </si>
  <si>
    <t>ATL PHX</t>
  </si>
  <si>
    <t>VIXXXXXXXXXXXX4188</t>
  </si>
  <si>
    <t>607057918</t>
  </si>
  <si>
    <t>7484128467</t>
  </si>
  <si>
    <t>7483841860</t>
  </si>
  <si>
    <t>K</t>
  </si>
  <si>
    <t>DCA MCI</t>
  </si>
  <si>
    <t>CAXXXXXXXXXXXX6239</t>
  </si>
  <si>
    <t>607057811</t>
  </si>
  <si>
    <t>7484128412</t>
  </si>
  <si>
    <t>S</t>
  </si>
  <si>
    <t>TYS DFW TYS</t>
  </si>
  <si>
    <t>AXXXXXXXXXXXX2005</t>
  </si>
  <si>
    <t>607057871</t>
  </si>
  <si>
    <t>7484128443</t>
  </si>
  <si>
    <t>7398486414</t>
  </si>
  <si>
    <t>L</t>
  </si>
  <si>
    <t>DEN ORD DEN</t>
  </si>
  <si>
    <t>VIXXXXXXXXXXXX9007</t>
  </si>
  <si>
    <t>607057867</t>
  </si>
  <si>
    <t>7484128441</t>
  </si>
  <si>
    <t>ATL PHX ATL</t>
  </si>
  <si>
    <t>AXXXXXXXXXXXX3004</t>
  </si>
  <si>
    <t>607057823</t>
  </si>
  <si>
    <t>7484128418</t>
  </si>
  <si>
    <t>MSY ATL MEM</t>
  </si>
  <si>
    <t>AXXXXXXXXXXXX2006</t>
  </si>
  <si>
    <t>607057829</t>
  </si>
  <si>
    <t>7484128422</t>
  </si>
  <si>
    <t>MSP LGA MSP</t>
  </si>
  <si>
    <t>AXXXXXXXXXXXX1004</t>
  </si>
  <si>
    <t>607057882</t>
  </si>
  <si>
    <t>7484128449</t>
  </si>
  <si>
    <t>Q</t>
  </si>
  <si>
    <t>ORD FLL</t>
  </si>
  <si>
    <t>CAXXXXXXXXXXXX4152</t>
  </si>
  <si>
    <t>608457986</t>
  </si>
  <si>
    <t>7484943041</t>
  </si>
  <si>
    <t>CLT ORF CLT</t>
  </si>
  <si>
    <t>CAXXXXXXXXXXXX3449</t>
  </si>
  <si>
    <t>608557885</t>
  </si>
  <si>
    <t>7484943087</t>
  </si>
  <si>
    <t>ORD LGA ORD</t>
  </si>
  <si>
    <t>CAXXXXXXXXXXXX1320</t>
  </si>
  <si>
    <t>608357913</t>
  </si>
  <si>
    <t>7484824151</t>
  </si>
  <si>
    <t>AXXXXXXXXXXXX1009</t>
  </si>
  <si>
    <t>607157877</t>
  </si>
  <si>
    <t>7484284042</t>
  </si>
  <si>
    <t>8990641375</t>
  </si>
  <si>
    <t>MSP PHX MSP</t>
  </si>
  <si>
    <t>VIXXXXXXXXXXXX4610</t>
  </si>
  <si>
    <t>607157881</t>
  </si>
  <si>
    <t>7484284046</t>
  </si>
  <si>
    <t>8999913857</t>
  </si>
  <si>
    <t>ATL MDW ATL</t>
  </si>
  <si>
    <t>VIXXXXXXXXXXXX9296</t>
  </si>
  <si>
    <t>607157829</t>
  </si>
  <si>
    <t>7484284011</t>
  </si>
  <si>
    <t>W</t>
  </si>
  <si>
    <t>ORD DFW ORD</t>
  </si>
  <si>
    <t>AXXXXXXXXXXXX2000</t>
  </si>
  <si>
    <t>607158001</t>
  </si>
  <si>
    <t>7484284115</t>
  </si>
  <si>
    <t>DTW PVD DTW</t>
  </si>
  <si>
    <t>AXXXXXXXXXXXX4009</t>
  </si>
  <si>
    <t>607257806</t>
  </si>
  <si>
    <t>2140383888</t>
  </si>
  <si>
    <t>MCI PHX MCI</t>
  </si>
  <si>
    <t>VIXXXXXXXXXXXX0592</t>
  </si>
  <si>
    <t>SMITH/JANE</t>
  </si>
  <si>
    <t>Agency Conf</t>
  </si>
  <si>
    <t>Airline Conf</t>
  </si>
  <si>
    <t>Cabin</t>
  </si>
  <si>
    <t>Premium Economy</t>
  </si>
  <si>
    <t xml:space="preserve">Operated by </t>
  </si>
  <si>
    <t>Delta</t>
  </si>
  <si>
    <t>United</t>
  </si>
  <si>
    <t>American</t>
  </si>
  <si>
    <t>Southwest</t>
  </si>
  <si>
    <t>Delta express</t>
  </si>
  <si>
    <t>J</t>
  </si>
  <si>
    <t>British Airways</t>
  </si>
  <si>
    <t>MCI LHR MCI</t>
  </si>
  <si>
    <t>Agent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</si>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</sst>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164" fontId="2" fillId="0" borderId="0" xfId="1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/>
    <xf numFmtId="14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/>
    <xf numFmtId="1" fontId="5" fillId="0" borderId="2" xfId="0" applyNumberFormat="1" applyFont="1" applyFill="1" applyBorder="1" applyAlignment="1">
      <alignment horizontal="left"/>
    </xf>
    <xf numFmtId="0" fontId="5" fillId="0" borderId="2" xfId="0" applyFont="1" applyFill="1" applyBorder="1"/>
    <xf numFmtId="14" fontId="5" fillId="0" borderId="2" xfId="0" applyNumberFormat="1" applyFont="1" applyFill="1" applyBorder="1"/>
    <xf numFmtId="0" fontId="5" fillId="0" borderId="2" xfId="0" applyFont="1" applyFill="1" applyBorder="1" applyAlignment="1">
      <alignment horizontal="right"/>
    </xf>
    <xf numFmtId="0" fontId="3" fillId="0" borderId="2" xfId="0" applyFont="1" applyFill="1" applyBorder="1"/>
    <xf numFmtId="164" fontId="5" fillId="0" borderId="2" xfId="1" applyNumberFormat="1" applyFont="1" applyFill="1" applyBorder="1"/>
    <xf numFmtId="0" fontId="0" fillId="0" borderId="0" xfId="0" applyFill="1"/>
    <xf numFmtId="0" fontId="5" fillId="0" borderId="2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DB72CEA8-48B8-4153-BE89-69EA9F03F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ashboards/power%20BI/NEW%20Air%20Invoice%20Detail.xlsx" TargetMode="External"/><Relationship Id="rId2" Type="http://schemas.openxmlformats.org/officeDocument/2006/relationships/externalLinkPath" Target="https://lockton-my.sharepoint.com/personal/kjohnson_lockton_com/Documents/Dashboards/power%20BI/NEW%20Air%20Invoice%20Detail.xlsx" TargetMode="External"/><Relationship Id="rId1" Type="http://schemas.openxmlformats.org/officeDocument/2006/relationships/externalLinkPath" Target="/personal/kjohnson_lockton_com/Documents/Dashboards/power%20BI/NEW%20Air%20Invoice%20Det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ir Travel INV Detail"/>
      <sheetName val="TABLE REF"/>
      <sheetName val="FOX reportin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643E-1779-4BC5-BFAE-F17D9AA09A23}">
  <dimension ref="A1:AF24"/>
  <sheetViews>
    <sheetView tabSelected="1" topLeftCell="D1" workbookViewId="0">
      <selection activeCell="U24" sqref="U24"/>
    </sheetView>
  </sheetViews>
  <sheetFormatPr defaultColWidth="15" defaultRowHeight="14.5" x14ac:dyDescent="0.35"/>
  <cols>
    <col min="1" max="1" width="21.26953125" style="14" bestFit="1" customWidth="1"/>
    <col min="2" max="16" width="15" style="14"/>
    <col min="17" max="17" width="18.54296875" style="14" bestFit="1" customWidth="1"/>
    <col min="18" max="18" width="18.54296875" style="14" customWidth="1"/>
    <col min="19" max="20" width="15" style="14"/>
    <col min="21" max="21" width="21.7265625" style="14" bestFit="1" customWidth="1"/>
    <col min="22" max="16384" width="15" style="14"/>
  </cols>
  <sheetData>
    <row r="1" spans="1:32" s="2" customFormat="1" ht="32.5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152</v>
      </c>
      <c r="P1" s="2" t="s">
        <v>14</v>
      </c>
      <c r="Q1" s="6" t="s">
        <v>15</v>
      </c>
      <c r="R1" s="6" t="s">
        <v>154</v>
      </c>
      <c r="S1" s="2" t="s">
        <v>16</v>
      </c>
      <c r="T1" s="1" t="s">
        <v>17</v>
      </c>
      <c r="U1" s="2" t="s">
        <v>18</v>
      </c>
      <c r="V1" s="2" t="s">
        <v>150</v>
      </c>
      <c r="W1" s="2" t="s">
        <v>151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</row>
    <row r="2" spans="1:32" x14ac:dyDescent="0.35">
      <c r="A2" s="7" t="s">
        <v>149</v>
      </c>
      <c r="B2" s="8">
        <v>15000</v>
      </c>
      <c r="C2" s="9">
        <v>1000</v>
      </c>
      <c r="D2" s="9" t="s">
        <v>28</v>
      </c>
      <c r="E2" s="9">
        <v>1000</v>
      </c>
      <c r="F2" s="9" t="s">
        <v>29</v>
      </c>
      <c r="G2" s="9">
        <v>12345</v>
      </c>
      <c r="H2" s="10">
        <v>46090</v>
      </c>
      <c r="I2" s="9" t="s">
        <v>45</v>
      </c>
      <c r="J2" s="11" t="s">
        <v>46</v>
      </c>
      <c r="K2" s="9" t="s">
        <v>44</v>
      </c>
      <c r="L2" s="10">
        <v>46226</v>
      </c>
      <c r="M2" s="10">
        <v>46226</v>
      </c>
      <c r="N2" s="9" t="s">
        <v>47</v>
      </c>
      <c r="O2" s="9" t="s">
        <v>31</v>
      </c>
      <c r="P2" s="9" t="s">
        <v>36</v>
      </c>
      <c r="Q2" s="12" t="s">
        <v>40</v>
      </c>
      <c r="R2" s="12" t="s">
        <v>155</v>
      </c>
      <c r="S2" s="9" t="s">
        <v>48</v>
      </c>
      <c r="T2" s="13">
        <v>755.73</v>
      </c>
      <c r="U2" s="9" t="s">
        <v>49</v>
      </c>
      <c r="V2" s="9" t="s">
        <v>50</v>
      </c>
      <c r="W2" s="9">
        <v>12345</v>
      </c>
      <c r="X2" s="9">
        <v>136</v>
      </c>
      <c r="Y2" s="9" t="s">
        <v>34</v>
      </c>
      <c r="Z2" s="9">
        <v>1</v>
      </c>
      <c r="AA2" s="9" t="s">
        <v>35</v>
      </c>
      <c r="AB2" s="9" t="str">
        <f>TEXT(H2,"mmmm")</f>
        <v>March</v>
      </c>
      <c r="AC2" s="9">
        <f>MONTH([1]!Table1[[#This Row],[Invoice Date]])</f>
        <v>1</v>
      </c>
      <c r="AD2" s="9" t="str">
        <f>TEXT(H2,"dddd")</f>
        <v>Monday</v>
      </c>
      <c r="AE2" s="9" t="str">
        <f>TEXT(H2,"d")</f>
        <v>9</v>
      </c>
      <c r="AF2" s="9">
        <f>YEAR(H2)</f>
        <v>2026</v>
      </c>
    </row>
    <row r="3" spans="1:32" x14ac:dyDescent="0.35">
      <c r="A3" s="7" t="s">
        <v>149</v>
      </c>
      <c r="B3" s="8">
        <v>15000</v>
      </c>
      <c r="C3" s="9">
        <v>1000</v>
      </c>
      <c r="D3" s="9" t="s">
        <v>28</v>
      </c>
      <c r="E3" s="9">
        <v>1000</v>
      </c>
      <c r="F3" s="9" t="s">
        <v>29</v>
      </c>
      <c r="G3" s="9">
        <v>12345</v>
      </c>
      <c r="H3" s="10">
        <v>46090</v>
      </c>
      <c r="I3" s="9" t="s">
        <v>51</v>
      </c>
      <c r="J3" s="11" t="s">
        <v>52</v>
      </c>
      <c r="K3" s="9" t="s">
        <v>44</v>
      </c>
      <c r="L3" s="10">
        <v>46111</v>
      </c>
      <c r="M3" s="10">
        <v>46111</v>
      </c>
      <c r="N3" s="9" t="s">
        <v>57</v>
      </c>
      <c r="O3" s="9" t="s">
        <v>153</v>
      </c>
      <c r="P3" s="9" t="s">
        <v>32</v>
      </c>
      <c r="Q3" s="12" t="s">
        <v>37</v>
      </c>
      <c r="R3" s="12" t="s">
        <v>156</v>
      </c>
      <c r="S3" s="9" t="s">
        <v>53</v>
      </c>
      <c r="T3" s="13">
        <v>214.34</v>
      </c>
      <c r="U3" s="9" t="s">
        <v>54</v>
      </c>
      <c r="V3" s="9" t="s">
        <v>50</v>
      </c>
      <c r="W3" s="9">
        <v>12345</v>
      </c>
      <c r="X3" s="9">
        <v>21</v>
      </c>
      <c r="Y3" s="9" t="s">
        <v>34</v>
      </c>
      <c r="Z3" s="9">
        <v>1</v>
      </c>
      <c r="AA3" s="9" t="s">
        <v>35</v>
      </c>
      <c r="AB3" s="9" t="str">
        <f>TEXT(H3,"mmmm")</f>
        <v>March</v>
      </c>
      <c r="AC3" s="9">
        <f>MONTH([1]!Table1[[#This Row],[Invoice Date]])</f>
        <v>1</v>
      </c>
      <c r="AD3" s="9" t="str">
        <f>TEXT(H3,"dddd")</f>
        <v>Monday</v>
      </c>
      <c r="AE3" s="9" t="str">
        <f>TEXT(H3,"d")</f>
        <v>9</v>
      </c>
      <c r="AF3" s="9">
        <f>YEAR(H3)</f>
        <v>2026</v>
      </c>
    </row>
    <row r="4" spans="1:32" x14ac:dyDescent="0.35">
      <c r="A4" s="7" t="s">
        <v>149</v>
      </c>
      <c r="B4" s="8">
        <v>15000</v>
      </c>
      <c r="C4" s="9">
        <v>1000</v>
      </c>
      <c r="D4" s="9" t="s">
        <v>28</v>
      </c>
      <c r="E4" s="9">
        <v>1000</v>
      </c>
      <c r="F4" s="9" t="s">
        <v>29</v>
      </c>
      <c r="G4" s="9">
        <v>12345</v>
      </c>
      <c r="H4" s="10">
        <v>46091</v>
      </c>
      <c r="I4" s="9" t="s">
        <v>55</v>
      </c>
      <c r="J4" s="11" t="s">
        <v>56</v>
      </c>
      <c r="K4" s="9" t="s">
        <v>44</v>
      </c>
      <c r="L4" s="10">
        <v>46107</v>
      </c>
      <c r="M4" s="10">
        <v>46108</v>
      </c>
      <c r="N4" s="9" t="s">
        <v>57</v>
      </c>
      <c r="O4" s="9" t="s">
        <v>42</v>
      </c>
      <c r="P4" s="9" t="s">
        <v>36</v>
      </c>
      <c r="Q4" s="12" t="s">
        <v>33</v>
      </c>
      <c r="R4" s="12" t="s">
        <v>157</v>
      </c>
      <c r="S4" s="9" t="s">
        <v>58</v>
      </c>
      <c r="T4" s="13">
        <v>524.81000000000006</v>
      </c>
      <c r="U4" s="9" t="s">
        <v>59</v>
      </c>
      <c r="V4" s="9" t="s">
        <v>50</v>
      </c>
      <c r="W4" s="9">
        <v>12345</v>
      </c>
      <c r="X4" s="9">
        <v>16</v>
      </c>
      <c r="Y4" s="9" t="s">
        <v>34</v>
      </c>
      <c r="Z4" s="9">
        <v>2</v>
      </c>
      <c r="AA4" s="9" t="s">
        <v>35</v>
      </c>
      <c r="AB4" s="9" t="str">
        <f>TEXT(H4,"mmmm")</f>
        <v>March</v>
      </c>
      <c r="AC4" s="9">
        <f>MONTH([1]!Table1[[#This Row],[Invoice Date]])</f>
        <v>1</v>
      </c>
      <c r="AD4" s="9" t="str">
        <f>TEXT(H4,"dddd")</f>
        <v>Tuesday</v>
      </c>
      <c r="AE4" s="9" t="str">
        <f>TEXT(H4,"d")</f>
        <v>10</v>
      </c>
      <c r="AF4" s="9">
        <f>YEAR(H4)</f>
        <v>2026</v>
      </c>
    </row>
    <row r="5" spans="1:32" x14ac:dyDescent="0.35">
      <c r="A5" s="7" t="s">
        <v>149</v>
      </c>
      <c r="B5" s="8">
        <v>15000</v>
      </c>
      <c r="C5" s="9">
        <v>1000</v>
      </c>
      <c r="D5" s="9" t="s">
        <v>28</v>
      </c>
      <c r="E5" s="9">
        <v>1000</v>
      </c>
      <c r="F5" s="9" t="s">
        <v>29</v>
      </c>
      <c r="G5" s="9">
        <v>12345</v>
      </c>
      <c r="H5" s="10">
        <v>46091</v>
      </c>
      <c r="I5" s="9" t="s">
        <v>60</v>
      </c>
      <c r="J5" s="11" t="s">
        <v>61</v>
      </c>
      <c r="K5" s="9" t="s">
        <v>62</v>
      </c>
      <c r="L5" s="10">
        <v>46172</v>
      </c>
      <c r="M5" s="10">
        <v>46178</v>
      </c>
      <c r="N5" s="9" t="s">
        <v>63</v>
      </c>
      <c r="O5" s="9" t="s">
        <v>31</v>
      </c>
      <c r="P5" s="9" t="s">
        <v>36</v>
      </c>
      <c r="Q5" s="12" t="s">
        <v>40</v>
      </c>
      <c r="R5" s="12" t="s">
        <v>155</v>
      </c>
      <c r="S5" s="9" t="s">
        <v>64</v>
      </c>
      <c r="T5" s="13">
        <v>0</v>
      </c>
      <c r="U5" s="9" t="s">
        <v>65</v>
      </c>
      <c r="V5" s="9" t="s">
        <v>50</v>
      </c>
      <c r="W5" s="9">
        <v>12345</v>
      </c>
      <c r="X5" s="9">
        <v>81</v>
      </c>
      <c r="Y5" s="9" t="s">
        <v>41</v>
      </c>
      <c r="Z5" s="9">
        <v>7</v>
      </c>
      <c r="AA5" s="9" t="s">
        <v>39</v>
      </c>
      <c r="AB5" s="9" t="str">
        <f>TEXT(H5,"mmmm")</f>
        <v>March</v>
      </c>
      <c r="AC5" s="9">
        <f>MONTH([1]!Table1[[#This Row],[Invoice Date]])</f>
        <v>1</v>
      </c>
      <c r="AD5" s="9" t="str">
        <f>TEXT(H5,"dddd")</f>
        <v>Tuesday</v>
      </c>
      <c r="AE5" s="9" t="str">
        <f>TEXT(H5,"d")</f>
        <v>10</v>
      </c>
      <c r="AF5" s="9">
        <f>YEAR(H5)</f>
        <v>2026</v>
      </c>
    </row>
    <row r="6" spans="1:32" x14ac:dyDescent="0.35">
      <c r="A6" s="7" t="s">
        <v>149</v>
      </c>
      <c r="B6" s="8">
        <v>15000</v>
      </c>
      <c r="C6" s="9">
        <v>1000</v>
      </c>
      <c r="D6" s="9" t="s">
        <v>28</v>
      </c>
      <c r="E6" s="9">
        <v>1000</v>
      </c>
      <c r="F6" s="9" t="s">
        <v>29</v>
      </c>
      <c r="G6" s="9">
        <v>12345</v>
      </c>
      <c r="H6" s="10">
        <v>46091</v>
      </c>
      <c r="I6" s="9" t="s">
        <v>66</v>
      </c>
      <c r="J6" s="11" t="s">
        <v>67</v>
      </c>
      <c r="K6" s="9" t="s">
        <v>44</v>
      </c>
      <c r="L6" s="10">
        <v>46092</v>
      </c>
      <c r="M6" s="10">
        <v>46092</v>
      </c>
      <c r="N6" s="9" t="s">
        <v>41</v>
      </c>
      <c r="O6" s="9" t="s">
        <v>153</v>
      </c>
      <c r="P6" s="9" t="s">
        <v>36</v>
      </c>
      <c r="Q6" s="12" t="s">
        <v>68</v>
      </c>
      <c r="R6" s="12" t="s">
        <v>158</v>
      </c>
      <c r="S6" s="9" t="s">
        <v>69</v>
      </c>
      <c r="T6" s="13">
        <v>347.64000000000004</v>
      </c>
      <c r="U6" s="9" t="s">
        <v>70</v>
      </c>
      <c r="V6" s="9" t="s">
        <v>50</v>
      </c>
      <c r="W6" s="9">
        <v>12345</v>
      </c>
      <c r="X6" s="9">
        <v>1</v>
      </c>
      <c r="Y6" s="9" t="s">
        <v>34</v>
      </c>
      <c r="Z6" s="9">
        <v>1</v>
      </c>
      <c r="AA6" s="9" t="s">
        <v>39</v>
      </c>
      <c r="AB6" s="9" t="str">
        <f>TEXT(H6,"mmmm")</f>
        <v>March</v>
      </c>
      <c r="AC6" s="9">
        <f>MONTH([1]!Table1[[#This Row],[Invoice Date]])</f>
        <v>1</v>
      </c>
      <c r="AD6" s="9" t="str">
        <f>TEXT(H6,"dddd")</f>
        <v>Tuesday</v>
      </c>
      <c r="AE6" s="9" t="str">
        <f>TEXT(H6,"d")</f>
        <v>10</v>
      </c>
      <c r="AF6" s="9">
        <f>YEAR(H6)</f>
        <v>2026</v>
      </c>
    </row>
    <row r="7" spans="1:32" x14ac:dyDescent="0.35">
      <c r="A7" s="7" t="s">
        <v>149</v>
      </c>
      <c r="B7" s="8">
        <v>15000</v>
      </c>
      <c r="C7" s="9">
        <v>1000</v>
      </c>
      <c r="D7" s="9" t="s">
        <v>28</v>
      </c>
      <c r="E7" s="9">
        <v>1000</v>
      </c>
      <c r="F7" s="9" t="s">
        <v>29</v>
      </c>
      <c r="G7" s="9">
        <v>12345</v>
      </c>
      <c r="H7" s="10">
        <v>46091</v>
      </c>
      <c r="I7" s="9" t="s">
        <v>71</v>
      </c>
      <c r="J7" s="11" t="s">
        <v>72</v>
      </c>
      <c r="K7" s="9" t="s">
        <v>44</v>
      </c>
      <c r="L7" s="10">
        <v>46136</v>
      </c>
      <c r="M7" s="10">
        <v>46139</v>
      </c>
      <c r="N7" s="9" t="s">
        <v>73</v>
      </c>
      <c r="O7" s="9" t="s">
        <v>42</v>
      </c>
      <c r="P7" s="9" t="s">
        <v>36</v>
      </c>
      <c r="Q7" s="12" t="s">
        <v>33</v>
      </c>
      <c r="R7" s="12" t="s">
        <v>157</v>
      </c>
      <c r="S7" s="9" t="s">
        <v>74</v>
      </c>
      <c r="T7" s="13">
        <v>774.91000000000008</v>
      </c>
      <c r="U7" s="9" t="s">
        <v>75</v>
      </c>
      <c r="V7" s="9" t="s">
        <v>50</v>
      </c>
      <c r="W7" s="9">
        <v>12345</v>
      </c>
      <c r="X7" s="9">
        <v>45</v>
      </c>
      <c r="Y7" s="9" t="s">
        <v>34</v>
      </c>
      <c r="Z7" s="9">
        <v>4</v>
      </c>
      <c r="AA7" s="9" t="s">
        <v>39</v>
      </c>
      <c r="AB7" s="9" t="str">
        <f>TEXT(H7,"mmmm")</f>
        <v>March</v>
      </c>
      <c r="AC7" s="9">
        <f>MONTH([1]!Table1[[#This Row],[Invoice Date]])</f>
        <v>1</v>
      </c>
      <c r="AD7" s="9" t="str">
        <f>TEXT(H7,"dddd")</f>
        <v>Tuesday</v>
      </c>
      <c r="AE7" s="9" t="str">
        <f>TEXT(H7,"d")</f>
        <v>10</v>
      </c>
      <c r="AF7" s="9">
        <f>YEAR(H7)</f>
        <v>2026</v>
      </c>
    </row>
    <row r="8" spans="1:32" x14ac:dyDescent="0.35">
      <c r="A8" s="7" t="s">
        <v>149</v>
      </c>
      <c r="B8" s="8">
        <v>15000</v>
      </c>
      <c r="C8" s="9">
        <v>1000</v>
      </c>
      <c r="D8" s="9" t="s">
        <v>28</v>
      </c>
      <c r="E8" s="9">
        <v>1000</v>
      </c>
      <c r="F8" s="9" t="s">
        <v>29</v>
      </c>
      <c r="G8" s="9">
        <v>12345</v>
      </c>
      <c r="H8" s="10">
        <v>46093</v>
      </c>
      <c r="I8" s="9" t="s">
        <v>76</v>
      </c>
      <c r="J8" s="11" t="s">
        <v>77</v>
      </c>
      <c r="K8" s="9" t="s">
        <v>44</v>
      </c>
      <c r="L8" s="10">
        <v>46145</v>
      </c>
      <c r="M8" s="10">
        <v>46145</v>
      </c>
      <c r="N8" s="9" t="s">
        <v>78</v>
      </c>
      <c r="O8" s="9" t="s">
        <v>31</v>
      </c>
      <c r="P8" s="9" t="s">
        <v>32</v>
      </c>
      <c r="Q8" s="12" t="s">
        <v>40</v>
      </c>
      <c r="R8" s="12" t="s">
        <v>155</v>
      </c>
      <c r="S8" s="9" t="s">
        <v>79</v>
      </c>
      <c r="T8" s="13">
        <v>415.25</v>
      </c>
      <c r="U8" s="9" t="s">
        <v>80</v>
      </c>
      <c r="V8" s="9" t="s">
        <v>50</v>
      </c>
      <c r="W8" s="9">
        <v>12345</v>
      </c>
      <c r="X8" s="9">
        <v>52</v>
      </c>
      <c r="Y8" s="9" t="s">
        <v>34</v>
      </c>
      <c r="Z8" s="9">
        <v>1</v>
      </c>
      <c r="AA8" s="9" t="s">
        <v>35</v>
      </c>
      <c r="AB8" s="9" t="str">
        <f>TEXT(H8,"mmmm")</f>
        <v>March</v>
      </c>
      <c r="AC8" s="9">
        <f>MONTH([1]!Table1[[#This Row],[Invoice Date]])</f>
        <v>1</v>
      </c>
      <c r="AD8" s="9" t="str">
        <f>TEXT(H8,"dddd")</f>
        <v>Thursday</v>
      </c>
      <c r="AE8" s="9" t="str">
        <f>TEXT(H8,"d")</f>
        <v>12</v>
      </c>
      <c r="AF8" s="9">
        <f>YEAR(H8)</f>
        <v>2026</v>
      </c>
    </row>
    <row r="9" spans="1:32" x14ac:dyDescent="0.35">
      <c r="A9" s="7" t="s">
        <v>149</v>
      </c>
      <c r="B9" s="8">
        <v>15000</v>
      </c>
      <c r="C9" s="9">
        <v>1000</v>
      </c>
      <c r="D9" s="9" t="s">
        <v>28</v>
      </c>
      <c r="E9" s="9">
        <v>1000</v>
      </c>
      <c r="F9" s="9" t="s">
        <v>29</v>
      </c>
      <c r="G9" s="9">
        <v>12345</v>
      </c>
      <c r="H9" s="10">
        <v>46092</v>
      </c>
      <c r="I9" s="9" t="s">
        <v>81</v>
      </c>
      <c r="J9" s="11" t="s">
        <v>82</v>
      </c>
      <c r="K9" s="9" t="s">
        <v>83</v>
      </c>
      <c r="L9" s="10">
        <v>46093</v>
      </c>
      <c r="M9" s="10">
        <v>46093</v>
      </c>
      <c r="N9" s="9" t="s">
        <v>84</v>
      </c>
      <c r="O9" s="9" t="s">
        <v>153</v>
      </c>
      <c r="P9" s="9" t="s">
        <v>32</v>
      </c>
      <c r="Q9" s="12" t="s">
        <v>33</v>
      </c>
      <c r="R9" s="12" t="s">
        <v>157</v>
      </c>
      <c r="S9" s="9" t="s">
        <v>85</v>
      </c>
      <c r="T9" s="13">
        <v>214.19</v>
      </c>
      <c r="U9" s="9" t="s">
        <v>86</v>
      </c>
      <c r="V9" s="9" t="s">
        <v>50</v>
      </c>
      <c r="W9" s="9">
        <v>12345</v>
      </c>
      <c r="X9" s="9">
        <v>1</v>
      </c>
      <c r="Y9" s="9" t="s">
        <v>41</v>
      </c>
      <c r="Z9" s="9">
        <v>1</v>
      </c>
      <c r="AA9" s="9" t="s">
        <v>39</v>
      </c>
      <c r="AB9" s="9" t="str">
        <f>TEXT(H9,"mmmm")</f>
        <v>March</v>
      </c>
      <c r="AC9" s="9">
        <f>MONTH([1]!Table1[[#This Row],[Invoice Date]])</f>
        <v>1</v>
      </c>
      <c r="AD9" s="9" t="str">
        <f>TEXT(H9,"dddd")</f>
        <v>Wednesday</v>
      </c>
      <c r="AE9" s="9" t="str">
        <f>TEXT(H9,"d")</f>
        <v>11</v>
      </c>
      <c r="AF9" s="9">
        <f>YEAR(H9)</f>
        <v>2026</v>
      </c>
    </row>
    <row r="10" spans="1:32" x14ac:dyDescent="0.35">
      <c r="A10" s="7" t="s">
        <v>149</v>
      </c>
      <c r="B10" s="8">
        <v>15000</v>
      </c>
      <c r="C10" s="9">
        <v>1000</v>
      </c>
      <c r="D10" s="9" t="s">
        <v>28</v>
      </c>
      <c r="E10" s="9">
        <v>1000</v>
      </c>
      <c r="F10" s="9" t="s">
        <v>29</v>
      </c>
      <c r="G10" s="9">
        <v>12345</v>
      </c>
      <c r="H10" s="10">
        <v>46092</v>
      </c>
      <c r="I10" s="9" t="s">
        <v>87</v>
      </c>
      <c r="J10" s="11" t="s">
        <v>88</v>
      </c>
      <c r="K10" s="9" t="s">
        <v>44</v>
      </c>
      <c r="L10" s="10">
        <v>46126</v>
      </c>
      <c r="M10" s="10">
        <v>46129</v>
      </c>
      <c r="N10" s="9" t="s">
        <v>89</v>
      </c>
      <c r="O10" s="9" t="s">
        <v>42</v>
      </c>
      <c r="P10" s="9" t="s">
        <v>36</v>
      </c>
      <c r="Q10" s="12" t="s">
        <v>33</v>
      </c>
      <c r="R10" s="12" t="s">
        <v>157</v>
      </c>
      <c r="S10" s="9" t="s">
        <v>90</v>
      </c>
      <c r="T10" s="13">
        <v>877.26</v>
      </c>
      <c r="U10" s="9" t="s">
        <v>91</v>
      </c>
      <c r="V10" s="9" t="s">
        <v>50</v>
      </c>
      <c r="W10" s="9">
        <v>12345</v>
      </c>
      <c r="X10" s="9">
        <v>34</v>
      </c>
      <c r="Y10" s="9" t="s">
        <v>34</v>
      </c>
      <c r="Z10" s="9">
        <v>4</v>
      </c>
      <c r="AA10" s="9" t="s">
        <v>35</v>
      </c>
      <c r="AB10" s="9" t="str">
        <f>TEXT(H10,"mmmm")</f>
        <v>March</v>
      </c>
      <c r="AC10" s="9">
        <f>MONTH([1]!Table1[[#This Row],[Invoice Date]])</f>
        <v>1</v>
      </c>
      <c r="AD10" s="9" t="str">
        <f>TEXT(H10,"dddd")</f>
        <v>Wednesday</v>
      </c>
      <c r="AE10" s="9" t="str">
        <f>TEXT(H10,"d")</f>
        <v>11</v>
      </c>
      <c r="AF10" s="9">
        <f>YEAR(H10)</f>
        <v>2026</v>
      </c>
    </row>
    <row r="11" spans="1:32" x14ac:dyDescent="0.35">
      <c r="A11" s="7" t="s">
        <v>149</v>
      </c>
      <c r="B11" s="8">
        <v>15000</v>
      </c>
      <c r="C11" s="9">
        <v>1000</v>
      </c>
      <c r="D11" s="9" t="s">
        <v>28</v>
      </c>
      <c r="E11" s="9">
        <v>1000</v>
      </c>
      <c r="F11" s="9" t="s">
        <v>29</v>
      </c>
      <c r="G11" s="9">
        <v>12345</v>
      </c>
      <c r="H11" s="10">
        <v>46092</v>
      </c>
      <c r="I11" s="9" t="s">
        <v>92</v>
      </c>
      <c r="J11" s="11" t="s">
        <v>93</v>
      </c>
      <c r="K11" s="9" t="s">
        <v>94</v>
      </c>
      <c r="L11" s="10">
        <v>46104</v>
      </c>
      <c r="M11" s="10">
        <v>46105</v>
      </c>
      <c r="N11" s="9" t="s">
        <v>95</v>
      </c>
      <c r="O11" s="9" t="s">
        <v>31</v>
      </c>
      <c r="P11" s="9" t="s">
        <v>36</v>
      </c>
      <c r="Q11" s="12" t="s">
        <v>37</v>
      </c>
      <c r="R11" s="12" t="s">
        <v>156</v>
      </c>
      <c r="S11" s="9" t="s">
        <v>96</v>
      </c>
      <c r="T11" s="13">
        <v>139.59</v>
      </c>
      <c r="U11" s="9" t="s">
        <v>97</v>
      </c>
      <c r="V11" s="9" t="s">
        <v>50</v>
      </c>
      <c r="W11" s="9">
        <v>12345</v>
      </c>
      <c r="X11" s="9">
        <v>12</v>
      </c>
      <c r="Y11" s="9" t="s">
        <v>41</v>
      </c>
      <c r="Z11" s="9">
        <v>2</v>
      </c>
      <c r="AA11" s="9" t="s">
        <v>39</v>
      </c>
      <c r="AB11" s="9" t="str">
        <f>TEXT(H11,"mmmm")</f>
        <v>March</v>
      </c>
      <c r="AC11" s="9">
        <f>MONTH([1]!Table1[[#This Row],[Invoice Date]])</f>
        <v>1</v>
      </c>
      <c r="AD11" s="9" t="str">
        <f>TEXT(H11,"dddd")</f>
        <v>Wednesday</v>
      </c>
      <c r="AE11" s="9" t="str">
        <f>TEXT(H11,"d")</f>
        <v>11</v>
      </c>
      <c r="AF11" s="9">
        <f>YEAR(H11)</f>
        <v>2026</v>
      </c>
    </row>
    <row r="12" spans="1:32" x14ac:dyDescent="0.35">
      <c r="A12" s="7" t="s">
        <v>149</v>
      </c>
      <c r="B12" s="8">
        <v>15000</v>
      </c>
      <c r="C12" s="9">
        <v>1000</v>
      </c>
      <c r="D12" s="9" t="s">
        <v>28</v>
      </c>
      <c r="E12" s="9">
        <v>1000</v>
      </c>
      <c r="F12" s="9" t="s">
        <v>29</v>
      </c>
      <c r="G12" s="9">
        <v>12345</v>
      </c>
      <c r="H12" s="10">
        <v>46092</v>
      </c>
      <c r="I12" s="9" t="s">
        <v>98</v>
      </c>
      <c r="J12" s="11" t="s">
        <v>99</v>
      </c>
      <c r="K12" s="9" t="s">
        <v>44</v>
      </c>
      <c r="L12" s="10">
        <v>46145</v>
      </c>
      <c r="M12" s="10">
        <v>46148</v>
      </c>
      <c r="N12" s="9" t="s">
        <v>47</v>
      </c>
      <c r="O12" s="9" t="s">
        <v>153</v>
      </c>
      <c r="P12" s="9" t="s">
        <v>36</v>
      </c>
      <c r="Q12" s="12" t="s">
        <v>40</v>
      </c>
      <c r="R12" s="12" t="s">
        <v>155</v>
      </c>
      <c r="S12" s="9" t="s">
        <v>100</v>
      </c>
      <c r="T12" s="13">
        <v>654.06000000000006</v>
      </c>
      <c r="U12" s="9" t="s">
        <v>101</v>
      </c>
      <c r="V12" s="9" t="s">
        <v>50</v>
      </c>
      <c r="W12" s="9">
        <v>12345</v>
      </c>
      <c r="X12" s="9">
        <v>53</v>
      </c>
      <c r="Y12" s="9" t="s">
        <v>34</v>
      </c>
      <c r="Z12" s="9">
        <v>4</v>
      </c>
      <c r="AA12" s="9" t="s">
        <v>35</v>
      </c>
      <c r="AB12" s="9" t="str">
        <f>TEXT(H12,"mmmm")</f>
        <v>March</v>
      </c>
      <c r="AC12" s="9">
        <f>MONTH([1]!Table1[[#This Row],[Invoice Date]])</f>
        <v>1</v>
      </c>
      <c r="AD12" s="9" t="str">
        <f>TEXT(H12,"dddd")</f>
        <v>Wednesday</v>
      </c>
      <c r="AE12" s="9" t="str">
        <f>TEXT(H12,"d")</f>
        <v>11</v>
      </c>
      <c r="AF12" s="9">
        <f>YEAR(H12)</f>
        <v>2026</v>
      </c>
    </row>
    <row r="13" spans="1:32" x14ac:dyDescent="0.35">
      <c r="A13" s="7" t="s">
        <v>149</v>
      </c>
      <c r="B13" s="8">
        <v>15000</v>
      </c>
      <c r="C13" s="9">
        <v>1000</v>
      </c>
      <c r="D13" s="9" t="s">
        <v>28</v>
      </c>
      <c r="E13" s="9">
        <v>1000</v>
      </c>
      <c r="F13" s="9" t="s">
        <v>29</v>
      </c>
      <c r="G13" s="9">
        <v>12345</v>
      </c>
      <c r="H13" s="10">
        <v>46092</v>
      </c>
      <c r="I13" s="9" t="s">
        <v>102</v>
      </c>
      <c r="J13" s="11" t="s">
        <v>103</v>
      </c>
      <c r="K13" s="9" t="s">
        <v>44</v>
      </c>
      <c r="L13" s="10">
        <v>46136</v>
      </c>
      <c r="M13" s="10">
        <v>46136</v>
      </c>
      <c r="N13" s="9" t="s">
        <v>47</v>
      </c>
      <c r="O13" s="9" t="s">
        <v>42</v>
      </c>
      <c r="P13" s="9" t="s">
        <v>32</v>
      </c>
      <c r="Q13" s="12" t="s">
        <v>40</v>
      </c>
      <c r="R13" s="12" t="s">
        <v>155</v>
      </c>
      <c r="S13" s="9" t="s">
        <v>104</v>
      </c>
      <c r="T13" s="13">
        <v>283.92</v>
      </c>
      <c r="U13" s="9" t="s">
        <v>105</v>
      </c>
      <c r="V13" s="9" t="s">
        <v>50</v>
      </c>
      <c r="W13" s="9">
        <v>12345</v>
      </c>
      <c r="X13" s="9">
        <v>44</v>
      </c>
      <c r="Y13" s="9" t="s">
        <v>34</v>
      </c>
      <c r="Z13" s="9">
        <v>1</v>
      </c>
      <c r="AA13" s="9" t="s">
        <v>39</v>
      </c>
      <c r="AB13" s="9" t="str">
        <f>TEXT(H13,"mmmm")</f>
        <v>March</v>
      </c>
      <c r="AC13" s="9">
        <f>MONTH([1]!Table1[[#This Row],[Invoice Date]])</f>
        <v>1</v>
      </c>
      <c r="AD13" s="9" t="str">
        <f>TEXT(H13,"dddd")</f>
        <v>Wednesday</v>
      </c>
      <c r="AE13" s="9" t="str">
        <f>TEXT(H13,"d")</f>
        <v>11</v>
      </c>
      <c r="AF13" s="9">
        <f>YEAR(H13)</f>
        <v>2026</v>
      </c>
    </row>
    <row r="14" spans="1:32" x14ac:dyDescent="0.35">
      <c r="A14" s="7" t="s">
        <v>149</v>
      </c>
      <c r="B14" s="8">
        <v>15000</v>
      </c>
      <c r="C14" s="9">
        <v>1000</v>
      </c>
      <c r="D14" s="9" t="s">
        <v>28</v>
      </c>
      <c r="E14" s="9">
        <v>1000</v>
      </c>
      <c r="F14" s="9" t="s">
        <v>29</v>
      </c>
      <c r="G14" s="9">
        <v>12345</v>
      </c>
      <c r="H14" s="10">
        <v>46092</v>
      </c>
      <c r="I14" s="9" t="s">
        <v>106</v>
      </c>
      <c r="J14" s="11" t="s">
        <v>107</v>
      </c>
      <c r="K14" s="9" t="s">
        <v>44</v>
      </c>
      <c r="L14" s="10">
        <v>46156</v>
      </c>
      <c r="M14" s="10">
        <v>46166</v>
      </c>
      <c r="N14" s="9" t="s">
        <v>47</v>
      </c>
      <c r="O14" s="9" t="s">
        <v>31</v>
      </c>
      <c r="P14" s="9" t="s">
        <v>36</v>
      </c>
      <c r="Q14" s="12" t="s">
        <v>40</v>
      </c>
      <c r="R14" s="12" t="s">
        <v>155</v>
      </c>
      <c r="S14" s="9" t="s">
        <v>108</v>
      </c>
      <c r="T14" s="13">
        <v>610.93000000000006</v>
      </c>
      <c r="U14" s="9" t="s">
        <v>109</v>
      </c>
      <c r="V14" s="9" t="s">
        <v>50</v>
      </c>
      <c r="W14" s="9">
        <v>12345</v>
      </c>
      <c r="X14" s="9">
        <v>64</v>
      </c>
      <c r="Y14" s="9" t="s">
        <v>34</v>
      </c>
      <c r="Z14" s="9">
        <v>11</v>
      </c>
      <c r="AA14" s="9" t="s">
        <v>35</v>
      </c>
      <c r="AB14" s="9" t="str">
        <f>TEXT(H14,"mmmm")</f>
        <v>March</v>
      </c>
      <c r="AC14" s="9">
        <f>MONTH([1]!Table1[[#This Row],[Invoice Date]])</f>
        <v>1</v>
      </c>
      <c r="AD14" s="9" t="str">
        <f>TEXT(H14,"dddd")</f>
        <v>Wednesday</v>
      </c>
      <c r="AE14" s="9" t="str">
        <f>TEXT(H14,"d")</f>
        <v>11</v>
      </c>
      <c r="AF14" s="9">
        <f>YEAR(H14)</f>
        <v>2026</v>
      </c>
    </row>
    <row r="15" spans="1:32" x14ac:dyDescent="0.35">
      <c r="A15" s="7" t="s">
        <v>149</v>
      </c>
      <c r="B15" s="8">
        <v>15000</v>
      </c>
      <c r="C15" s="9">
        <v>1000</v>
      </c>
      <c r="D15" s="9" t="s">
        <v>28</v>
      </c>
      <c r="E15" s="9">
        <v>1000</v>
      </c>
      <c r="F15" s="9" t="s">
        <v>29</v>
      </c>
      <c r="G15" s="9">
        <v>12345</v>
      </c>
      <c r="H15" s="10">
        <v>46092</v>
      </c>
      <c r="I15" s="9" t="s">
        <v>110</v>
      </c>
      <c r="J15" s="11" t="s">
        <v>111</v>
      </c>
      <c r="K15" s="9" t="s">
        <v>44</v>
      </c>
      <c r="L15" s="10">
        <v>46092</v>
      </c>
      <c r="M15" s="10">
        <v>46092</v>
      </c>
      <c r="N15" s="9" t="s">
        <v>112</v>
      </c>
      <c r="O15" s="9" t="s">
        <v>153</v>
      </c>
      <c r="P15" s="9" t="s">
        <v>32</v>
      </c>
      <c r="Q15" s="12" t="s">
        <v>37</v>
      </c>
      <c r="R15" s="12" t="s">
        <v>156</v>
      </c>
      <c r="S15" s="9" t="s">
        <v>113</v>
      </c>
      <c r="T15" s="13">
        <v>387.88</v>
      </c>
      <c r="U15" s="9" t="s">
        <v>114</v>
      </c>
      <c r="V15" s="9" t="s">
        <v>50</v>
      </c>
      <c r="W15" s="9">
        <v>12345</v>
      </c>
      <c r="X15" s="9">
        <v>0</v>
      </c>
      <c r="Y15" s="9" t="s">
        <v>34</v>
      </c>
      <c r="Z15" s="9">
        <v>1</v>
      </c>
      <c r="AA15" s="9" t="s">
        <v>39</v>
      </c>
      <c r="AB15" s="9" t="str">
        <f>TEXT(H15,"mmmm")</f>
        <v>March</v>
      </c>
      <c r="AC15" s="9">
        <f>MONTH([1]!Table1[[#This Row],[Invoice Date]])</f>
        <v>1</v>
      </c>
      <c r="AD15" s="9" t="str">
        <f>TEXT(H15,"dddd")</f>
        <v>Wednesday</v>
      </c>
      <c r="AE15" s="9" t="str">
        <f>TEXT(H15,"d")</f>
        <v>11</v>
      </c>
      <c r="AF15" s="9">
        <f>YEAR(H15)</f>
        <v>2026</v>
      </c>
    </row>
    <row r="16" spans="1:32" x14ac:dyDescent="0.35">
      <c r="A16" s="7" t="s">
        <v>149</v>
      </c>
      <c r="B16" s="8">
        <v>15000</v>
      </c>
      <c r="C16" s="9">
        <v>1000</v>
      </c>
      <c r="D16" s="9" t="s">
        <v>28</v>
      </c>
      <c r="E16" s="9">
        <v>1000</v>
      </c>
      <c r="F16" s="9" t="s">
        <v>29</v>
      </c>
      <c r="G16" s="9">
        <v>12345</v>
      </c>
      <c r="H16" s="10">
        <v>46106</v>
      </c>
      <c r="I16" s="9" t="s">
        <v>115</v>
      </c>
      <c r="J16" s="11" t="s">
        <v>116</v>
      </c>
      <c r="K16" s="9" t="s">
        <v>44</v>
      </c>
      <c r="L16" s="10">
        <v>46134</v>
      </c>
      <c r="M16" s="10">
        <v>46135</v>
      </c>
      <c r="N16" s="9" t="s">
        <v>89</v>
      </c>
      <c r="O16" s="9" t="s">
        <v>42</v>
      </c>
      <c r="P16" s="9" t="s">
        <v>36</v>
      </c>
      <c r="Q16" s="12" t="s">
        <v>33</v>
      </c>
      <c r="R16" s="12" t="s">
        <v>157</v>
      </c>
      <c r="S16" s="9" t="s">
        <v>117</v>
      </c>
      <c r="T16" s="13">
        <v>824.04000000000008</v>
      </c>
      <c r="U16" s="9" t="s">
        <v>118</v>
      </c>
      <c r="V16" s="9" t="s">
        <v>50</v>
      </c>
      <c r="W16" s="9">
        <v>12345</v>
      </c>
      <c r="X16" s="9">
        <v>28</v>
      </c>
      <c r="Y16" s="9" t="s">
        <v>34</v>
      </c>
      <c r="Z16" s="9">
        <v>2</v>
      </c>
      <c r="AA16" s="9" t="s">
        <v>35</v>
      </c>
      <c r="AB16" s="9" t="str">
        <f>TEXT(H16,"mmmm")</f>
        <v>March</v>
      </c>
      <c r="AC16" s="9">
        <f>MONTH([1]!Table1[[#This Row],[Invoice Date]])</f>
        <v>1</v>
      </c>
      <c r="AD16" s="9" t="str">
        <f>TEXT(H16,"dddd")</f>
        <v>Wednesday</v>
      </c>
      <c r="AE16" s="9" t="str">
        <f>TEXT(H16,"d")</f>
        <v>25</v>
      </c>
      <c r="AF16" s="9">
        <f>YEAR(H16)</f>
        <v>2026</v>
      </c>
    </row>
    <row r="17" spans="1:32" x14ac:dyDescent="0.35">
      <c r="A17" s="7" t="s">
        <v>149</v>
      </c>
      <c r="B17" s="8">
        <v>15000</v>
      </c>
      <c r="C17" s="9">
        <v>1000</v>
      </c>
      <c r="D17" s="9" t="s">
        <v>28</v>
      </c>
      <c r="E17" s="9">
        <v>1000</v>
      </c>
      <c r="F17" s="9" t="s">
        <v>29</v>
      </c>
      <c r="G17" s="9">
        <v>12345</v>
      </c>
      <c r="H17" s="10">
        <v>46107</v>
      </c>
      <c r="I17" s="9" t="s">
        <v>119</v>
      </c>
      <c r="J17" s="11" t="s">
        <v>120</v>
      </c>
      <c r="K17" s="9" t="s">
        <v>44</v>
      </c>
      <c r="L17" s="10">
        <v>46127</v>
      </c>
      <c r="M17" s="10">
        <v>46127</v>
      </c>
      <c r="N17" s="9" t="s">
        <v>112</v>
      </c>
      <c r="O17" s="9" t="s">
        <v>31</v>
      </c>
      <c r="P17" s="9" t="s">
        <v>36</v>
      </c>
      <c r="Q17" s="12" t="s">
        <v>33</v>
      </c>
      <c r="R17" s="12" t="s">
        <v>157</v>
      </c>
      <c r="S17" s="9" t="s">
        <v>121</v>
      </c>
      <c r="T17" s="13">
        <v>276.8</v>
      </c>
      <c r="U17" s="9" t="s">
        <v>122</v>
      </c>
      <c r="V17" s="9" t="s">
        <v>50</v>
      </c>
      <c r="W17" s="9">
        <v>12345</v>
      </c>
      <c r="X17" s="9">
        <v>20</v>
      </c>
      <c r="Y17" s="9" t="s">
        <v>34</v>
      </c>
      <c r="Z17" s="9">
        <v>1</v>
      </c>
      <c r="AA17" s="9" t="s">
        <v>35</v>
      </c>
      <c r="AB17" s="9" t="str">
        <f>TEXT(H17,"mmmm")</f>
        <v>March</v>
      </c>
      <c r="AC17" s="9">
        <f>MONTH([1]!Table1[[#This Row],[Invoice Date]])</f>
        <v>1</v>
      </c>
      <c r="AD17" s="9" t="str">
        <f>TEXT(H17,"dddd")</f>
        <v>Thursday</v>
      </c>
      <c r="AE17" s="9" t="str">
        <f>TEXT(H17,"d")</f>
        <v>26</v>
      </c>
      <c r="AF17" s="9">
        <f>YEAR(H17)</f>
        <v>2026</v>
      </c>
    </row>
    <row r="18" spans="1:32" x14ac:dyDescent="0.35">
      <c r="A18" s="7" t="s">
        <v>149</v>
      </c>
      <c r="B18" s="8">
        <v>15000</v>
      </c>
      <c r="C18" s="9">
        <v>1000</v>
      </c>
      <c r="D18" s="9" t="s">
        <v>28</v>
      </c>
      <c r="E18" s="9">
        <v>1000</v>
      </c>
      <c r="F18" s="9" t="s">
        <v>29</v>
      </c>
      <c r="G18" s="9">
        <v>12345</v>
      </c>
      <c r="H18" s="10">
        <v>46105</v>
      </c>
      <c r="I18" s="9" t="s">
        <v>123</v>
      </c>
      <c r="J18" s="11" t="s">
        <v>124</v>
      </c>
      <c r="K18" s="9" t="s">
        <v>44</v>
      </c>
      <c r="L18" s="10">
        <v>46177</v>
      </c>
      <c r="M18" s="10">
        <v>46177</v>
      </c>
      <c r="N18" s="9" t="s">
        <v>95</v>
      </c>
      <c r="O18" s="9" t="s">
        <v>153</v>
      </c>
      <c r="P18" s="9" t="s">
        <v>36</v>
      </c>
      <c r="Q18" s="12" t="s">
        <v>40</v>
      </c>
      <c r="R18" s="12" t="s">
        <v>155</v>
      </c>
      <c r="S18" s="9" t="s">
        <v>43</v>
      </c>
      <c r="T18" s="13">
        <v>789.38</v>
      </c>
      <c r="U18" s="9" t="s">
        <v>125</v>
      </c>
      <c r="V18" s="9" t="s">
        <v>50</v>
      </c>
      <c r="W18" s="9">
        <v>12345</v>
      </c>
      <c r="X18" s="9">
        <v>72</v>
      </c>
      <c r="Y18" s="9" t="s">
        <v>34</v>
      </c>
      <c r="Z18" s="9">
        <v>1</v>
      </c>
      <c r="AA18" s="9" t="s">
        <v>35</v>
      </c>
      <c r="AB18" s="9" t="str">
        <f>TEXT(H18,"mmmm")</f>
        <v>March</v>
      </c>
      <c r="AC18" s="9">
        <f>MONTH([1]!Table1[[#This Row],[Invoice Date]])</f>
        <v>1</v>
      </c>
      <c r="AD18" s="9" t="str">
        <f>TEXT(H18,"dddd")</f>
        <v>Tuesday</v>
      </c>
      <c r="AE18" s="9" t="str">
        <f>TEXT(H18,"d")</f>
        <v>24</v>
      </c>
      <c r="AF18" s="9">
        <f>YEAR(H18)</f>
        <v>2026</v>
      </c>
    </row>
    <row r="19" spans="1:32" x14ac:dyDescent="0.35">
      <c r="A19" s="7" t="s">
        <v>149</v>
      </c>
      <c r="B19" s="8">
        <v>15000</v>
      </c>
      <c r="C19" s="9">
        <v>1000</v>
      </c>
      <c r="D19" s="9" t="s">
        <v>28</v>
      </c>
      <c r="E19" s="9">
        <v>1000</v>
      </c>
      <c r="F19" s="9" t="s">
        <v>29</v>
      </c>
      <c r="G19" s="9">
        <v>12345</v>
      </c>
      <c r="H19" s="10">
        <v>46093</v>
      </c>
      <c r="I19" s="9" t="s">
        <v>126</v>
      </c>
      <c r="J19" s="11" t="s">
        <v>127</v>
      </c>
      <c r="K19" s="9" t="s">
        <v>128</v>
      </c>
      <c r="L19" s="10">
        <v>46144</v>
      </c>
      <c r="M19" s="10">
        <v>46148</v>
      </c>
      <c r="N19" s="9" t="s">
        <v>63</v>
      </c>
      <c r="O19" s="9" t="s">
        <v>42</v>
      </c>
      <c r="P19" s="9" t="s">
        <v>36</v>
      </c>
      <c r="Q19" s="12" t="s">
        <v>40</v>
      </c>
      <c r="R19" s="12" t="s">
        <v>155</v>
      </c>
      <c r="S19" s="9" t="s">
        <v>129</v>
      </c>
      <c r="T19" s="13">
        <v>374.96000000000004</v>
      </c>
      <c r="U19" s="9" t="s">
        <v>130</v>
      </c>
      <c r="V19" s="9" t="s">
        <v>50</v>
      </c>
      <c r="W19" s="9">
        <v>12345</v>
      </c>
      <c r="X19" s="9">
        <v>51</v>
      </c>
      <c r="Y19" s="9" t="s">
        <v>41</v>
      </c>
      <c r="Z19" s="9">
        <v>5</v>
      </c>
      <c r="AA19" s="9" t="s">
        <v>39</v>
      </c>
      <c r="AB19" s="9" t="str">
        <f>TEXT(H19,"mmmm")</f>
        <v>March</v>
      </c>
      <c r="AC19" s="9">
        <f>MONTH([1]!Table1[[#This Row],[Invoice Date]])</f>
        <v>1</v>
      </c>
      <c r="AD19" s="9" t="str">
        <f>TEXT(H19,"dddd")</f>
        <v>Thursday</v>
      </c>
      <c r="AE19" s="9" t="str">
        <f>TEXT(H19,"d")</f>
        <v>12</v>
      </c>
      <c r="AF19" s="9">
        <f>YEAR(H19)</f>
        <v>2026</v>
      </c>
    </row>
    <row r="20" spans="1:32" x14ac:dyDescent="0.35">
      <c r="A20" s="7" t="s">
        <v>149</v>
      </c>
      <c r="B20" s="8">
        <v>15000</v>
      </c>
      <c r="C20" s="9">
        <v>1000</v>
      </c>
      <c r="D20" s="9" t="s">
        <v>28</v>
      </c>
      <c r="E20" s="9">
        <v>1000</v>
      </c>
      <c r="F20" s="9" t="s">
        <v>29</v>
      </c>
      <c r="G20" s="9">
        <v>12345</v>
      </c>
      <c r="H20" s="10">
        <v>46093</v>
      </c>
      <c r="I20" s="9" t="s">
        <v>131</v>
      </c>
      <c r="J20" s="11" t="s">
        <v>132</v>
      </c>
      <c r="K20" s="9" t="s">
        <v>133</v>
      </c>
      <c r="L20" s="10">
        <v>46112</v>
      </c>
      <c r="M20" s="10">
        <v>46113</v>
      </c>
      <c r="N20" s="9" t="s">
        <v>63</v>
      </c>
      <c r="O20" s="9" t="s">
        <v>31</v>
      </c>
      <c r="P20" s="9" t="s">
        <v>36</v>
      </c>
      <c r="Q20" s="12" t="s">
        <v>40</v>
      </c>
      <c r="R20" s="12" t="s">
        <v>155</v>
      </c>
      <c r="S20" s="9" t="s">
        <v>134</v>
      </c>
      <c r="T20" s="13">
        <v>297.74</v>
      </c>
      <c r="U20" s="9" t="s">
        <v>135</v>
      </c>
      <c r="V20" s="9" t="s">
        <v>50</v>
      </c>
      <c r="W20" s="9">
        <v>12345</v>
      </c>
      <c r="X20" s="9">
        <v>19</v>
      </c>
      <c r="Y20" s="9" t="s">
        <v>41</v>
      </c>
      <c r="Z20" s="9">
        <v>2</v>
      </c>
      <c r="AA20" s="9" t="s">
        <v>39</v>
      </c>
      <c r="AB20" s="9" t="str">
        <f>TEXT(H20,"mmmm")</f>
        <v>March</v>
      </c>
      <c r="AC20" s="9">
        <f>MONTH([1]!Table1[[#This Row],[Invoice Date]])</f>
        <v>1</v>
      </c>
      <c r="AD20" s="9" t="str">
        <f>TEXT(H20,"dddd")</f>
        <v>Thursday</v>
      </c>
      <c r="AE20" s="9" t="str">
        <f>TEXT(H20,"d")</f>
        <v>12</v>
      </c>
      <c r="AF20" s="9">
        <f>YEAR(H20)</f>
        <v>2026</v>
      </c>
    </row>
    <row r="21" spans="1:32" x14ac:dyDescent="0.35">
      <c r="A21" s="7" t="s">
        <v>149</v>
      </c>
      <c r="B21" s="8">
        <v>15000</v>
      </c>
      <c r="C21" s="9">
        <v>1000</v>
      </c>
      <c r="D21" s="9" t="s">
        <v>28</v>
      </c>
      <c r="E21" s="9">
        <v>1000</v>
      </c>
      <c r="F21" s="9" t="s">
        <v>29</v>
      </c>
      <c r="G21" s="9">
        <v>12345</v>
      </c>
      <c r="H21" s="10">
        <v>46093</v>
      </c>
      <c r="I21" s="9" t="s">
        <v>136</v>
      </c>
      <c r="J21" s="11" t="s">
        <v>137</v>
      </c>
      <c r="K21" s="9" t="s">
        <v>44</v>
      </c>
      <c r="L21" s="10">
        <v>46107</v>
      </c>
      <c r="M21" s="10">
        <v>46108</v>
      </c>
      <c r="N21" s="9" t="s">
        <v>138</v>
      </c>
      <c r="O21" s="9" t="s">
        <v>153</v>
      </c>
      <c r="P21" s="9" t="s">
        <v>36</v>
      </c>
      <c r="Q21" s="12" t="s">
        <v>37</v>
      </c>
      <c r="R21" s="12" t="s">
        <v>156</v>
      </c>
      <c r="S21" s="9" t="s">
        <v>139</v>
      </c>
      <c r="T21" s="13">
        <v>545.36</v>
      </c>
      <c r="U21" s="9" t="s">
        <v>140</v>
      </c>
      <c r="V21" s="9" t="s">
        <v>50</v>
      </c>
      <c r="W21" s="9">
        <v>12345</v>
      </c>
      <c r="X21" s="9">
        <v>14</v>
      </c>
      <c r="Y21" s="9" t="s">
        <v>34</v>
      </c>
      <c r="Z21" s="9">
        <v>2</v>
      </c>
      <c r="AA21" s="9" t="s">
        <v>35</v>
      </c>
      <c r="AB21" s="9" t="str">
        <f>TEXT(H21,"mmmm")</f>
        <v>March</v>
      </c>
      <c r="AC21" s="9">
        <f>MONTH([1]!Table1[[#This Row],[Invoice Date]])</f>
        <v>1</v>
      </c>
      <c r="AD21" s="9" t="str">
        <f>TEXT(H21,"dddd")</f>
        <v>Thursday</v>
      </c>
      <c r="AE21" s="9" t="str">
        <f>TEXT(H21,"d")</f>
        <v>12</v>
      </c>
      <c r="AF21" s="9">
        <f>YEAR(H21)</f>
        <v>2026</v>
      </c>
    </row>
    <row r="22" spans="1:32" x14ac:dyDescent="0.35">
      <c r="A22" s="7" t="s">
        <v>149</v>
      </c>
      <c r="B22" s="8">
        <v>15000</v>
      </c>
      <c r="C22" s="9">
        <v>1000</v>
      </c>
      <c r="D22" s="9" t="s">
        <v>28</v>
      </c>
      <c r="E22" s="9">
        <v>1000</v>
      </c>
      <c r="F22" s="9" t="s">
        <v>29</v>
      </c>
      <c r="G22" s="9">
        <v>12345</v>
      </c>
      <c r="H22" s="10">
        <v>46093</v>
      </c>
      <c r="I22" s="15">
        <v>899836096</v>
      </c>
      <c r="J22" s="11">
        <v>7409883830</v>
      </c>
      <c r="K22" s="9"/>
      <c r="L22" s="10">
        <v>46388</v>
      </c>
      <c r="M22" s="10">
        <v>46395</v>
      </c>
      <c r="N22" s="9" t="s">
        <v>160</v>
      </c>
      <c r="O22" s="9" t="s">
        <v>42</v>
      </c>
      <c r="P22" s="9" t="s">
        <v>36</v>
      </c>
      <c r="Q22" s="12" t="s">
        <v>33</v>
      </c>
      <c r="R22" s="12" t="s">
        <v>161</v>
      </c>
      <c r="S22" s="9" t="s">
        <v>162</v>
      </c>
      <c r="T22" s="13">
        <v>5000</v>
      </c>
      <c r="U22" s="9" t="s">
        <v>140</v>
      </c>
      <c r="V22" s="9" t="s">
        <v>50</v>
      </c>
      <c r="W22" s="9">
        <v>12345</v>
      </c>
      <c r="X22" s="9" t="s">
        <v>30</v>
      </c>
      <c r="Y22" s="9" t="s">
        <v>34</v>
      </c>
      <c r="Z22" s="9">
        <v>8</v>
      </c>
      <c r="AA22" s="9" t="s">
        <v>163</v>
      </c>
      <c r="AB22" s="9" t="s">
        <v>164</v>
      </c>
      <c r="AC22" s="9">
        <v>1</v>
      </c>
      <c r="AD22" s="9" t="str">
        <f>TEXT(H22,"dddd")</f>
        <v>Thursday</v>
      </c>
      <c r="AE22" s="9" t="str">
        <f>TEXT(H22,"d")</f>
        <v>12</v>
      </c>
      <c r="AF22" s="9">
        <f>YEAR(H22)</f>
        <v>2026</v>
      </c>
    </row>
    <row r="23" spans="1:32" x14ac:dyDescent="0.35">
      <c r="A23" s="7" t="s">
        <v>149</v>
      </c>
      <c r="B23" s="8">
        <v>15000</v>
      </c>
      <c r="C23" s="9">
        <v>1000</v>
      </c>
      <c r="D23" s="9" t="s">
        <v>28</v>
      </c>
      <c r="E23" s="9">
        <v>1000</v>
      </c>
      <c r="F23" s="9" t="s">
        <v>38</v>
      </c>
      <c r="G23" s="9">
        <v>12345</v>
      </c>
      <c r="H23" s="10">
        <v>46094</v>
      </c>
      <c r="I23" s="9" t="s">
        <v>141</v>
      </c>
      <c r="J23" s="11" t="s">
        <v>142</v>
      </c>
      <c r="K23" s="9" t="s">
        <v>44</v>
      </c>
      <c r="L23" s="10">
        <v>46103</v>
      </c>
      <c r="M23" s="10">
        <v>46105</v>
      </c>
      <c r="N23" s="9" t="s">
        <v>84</v>
      </c>
      <c r="O23" s="9" t="s">
        <v>42</v>
      </c>
      <c r="P23" s="9" t="s">
        <v>36</v>
      </c>
      <c r="Q23" s="12" t="s">
        <v>40</v>
      </c>
      <c r="R23" s="12" t="s">
        <v>159</v>
      </c>
      <c r="S23" s="9" t="s">
        <v>143</v>
      </c>
      <c r="T23" s="13">
        <v>1006.88</v>
      </c>
      <c r="U23" s="9" t="s">
        <v>144</v>
      </c>
      <c r="V23" s="9" t="s">
        <v>50</v>
      </c>
      <c r="W23" s="9">
        <v>12345</v>
      </c>
      <c r="X23" s="9">
        <v>9</v>
      </c>
      <c r="Y23" s="9" t="s">
        <v>34</v>
      </c>
      <c r="Z23" s="9">
        <v>3</v>
      </c>
      <c r="AA23" s="9" t="s">
        <v>35</v>
      </c>
      <c r="AB23" s="9" t="str">
        <f>TEXT(H23,"mmmm")</f>
        <v>March</v>
      </c>
      <c r="AC23" s="9">
        <f>MONTH([1]!Table1[[#This Row],[Invoice Date]])</f>
        <v>1</v>
      </c>
      <c r="AD23" s="9" t="str">
        <f>TEXT(H23,"dddd")</f>
        <v>Friday</v>
      </c>
      <c r="AE23" s="9" t="str">
        <f>TEXT(H23,"d")</f>
        <v>13</v>
      </c>
      <c r="AF23" s="9">
        <f>YEAR(H23)</f>
        <v>2026</v>
      </c>
    </row>
    <row r="24" spans="1:32" x14ac:dyDescent="0.35">
      <c r="A24" s="7" t="s">
        <v>149</v>
      </c>
      <c r="B24" s="8">
        <v>15000</v>
      </c>
      <c r="C24" s="9">
        <v>1000</v>
      </c>
      <c r="D24" s="9" t="s">
        <v>28</v>
      </c>
      <c r="E24" s="9">
        <v>1000</v>
      </c>
      <c r="F24" s="9" t="s">
        <v>29</v>
      </c>
      <c r="G24" s="9">
        <v>12345</v>
      </c>
      <c r="H24" s="10">
        <v>46094</v>
      </c>
      <c r="I24" s="9" t="s">
        <v>145</v>
      </c>
      <c r="J24" s="11" t="s">
        <v>146</v>
      </c>
      <c r="K24" s="9" t="s">
        <v>44</v>
      </c>
      <c r="L24" s="10">
        <v>46145</v>
      </c>
      <c r="M24" s="10">
        <v>46148</v>
      </c>
      <c r="N24" s="9" t="s">
        <v>41</v>
      </c>
      <c r="O24" s="9" t="s">
        <v>31</v>
      </c>
      <c r="P24" s="9" t="s">
        <v>36</v>
      </c>
      <c r="Q24" s="12" t="s">
        <v>68</v>
      </c>
      <c r="R24" s="12" t="s">
        <v>158</v>
      </c>
      <c r="S24" s="9" t="s">
        <v>147</v>
      </c>
      <c r="T24" s="13">
        <v>0</v>
      </c>
      <c r="U24" s="9" t="s">
        <v>148</v>
      </c>
      <c r="V24" s="9" t="s">
        <v>50</v>
      </c>
      <c r="W24" s="9">
        <v>12345</v>
      </c>
      <c r="X24" s="9">
        <v>51</v>
      </c>
      <c r="Y24" s="9" t="s">
        <v>34</v>
      </c>
      <c r="Z24" s="9">
        <v>4</v>
      </c>
      <c r="AA24" s="9" t="s">
        <v>39</v>
      </c>
      <c r="AB24" s="9" t="str">
        <f>TEXT(H24,"mmmm")</f>
        <v>March</v>
      </c>
      <c r="AC24" s="9">
        <f>MONTH([1]!Table1[[#This Row],[Invoice Date]])</f>
        <v>1</v>
      </c>
      <c r="AD24" s="9" t="str">
        <f>TEXT(H24,"dddd")</f>
        <v>Friday</v>
      </c>
      <c r="AE24" s="9" t="str">
        <f>TEXT(H24,"d")</f>
        <v>13</v>
      </c>
      <c r="AF24" s="9">
        <f>YEAR(H24)</f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 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Kelli</dc:creator>
  <cp:lastModifiedBy>Johnson, Kelli</cp:lastModifiedBy>
  <dcterms:created xsi:type="dcterms:W3CDTF">2026-03-30T22:40:08Z</dcterms:created>
  <dcterms:modified xsi:type="dcterms:W3CDTF">2026-03-30T23:06:49Z</dcterms:modified>
</cp:coreProperties>
</file>